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Consolas"/>
      <b val="1"/>
      <color rgb="00047857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EF08A"/>
        <bgColor rgb="00FEF08A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1" applyAlignment="1" pivotButton="0" quotePrefix="0" xfId="0">
      <alignment horizontal="right"/>
    </xf>
    <xf numFmtId="0" fontId="4" fillId="0" borderId="0" pivotButton="0" quotePrefix="0" xfId="0"/>
    <xf numFmtId="0" fontId="5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42" customWidth="1" min="3" max="3"/>
    <col width="41" customWidth="1" min="4" max="4"/>
    <col width="38" customWidth="1" min="5" max="5"/>
    <col width="23" customWidth="1" min="6" max="6"/>
    <col width="33" customWidth="1" min="7" max="7"/>
    <col width="14" customWidth="1" min="8" max="8"/>
  </cols>
  <sheetData>
    <row r="1" ht="32" customHeight="1">
      <c r="A1" s="1" t="inlineStr">
        <is>
          <t>BELT SCALE - CALIBRATION &amp; RESOLUTION CALCULATIONS</t>
        </is>
      </c>
    </row>
    <row r="2"/>
    <row r="3">
      <c r="A3" s="2" t="inlineStr">
        <is>
          <t>INPUT PARAMETERS</t>
        </is>
      </c>
      <c r="F3" s="2" t="inlineStr">
        <is>
          <t>DERIVED PARAMETERS</t>
        </is>
      </c>
    </row>
    <row r="4">
      <c r="A4" s="3" t="inlineStr">
        <is>
          <t>Capacity (Q):</t>
        </is>
      </c>
      <c r="B4" s="4" t="n">
        <v>1000</v>
      </c>
      <c r="C4" s="5" t="inlineStr">
        <is>
          <t>TPH</t>
        </is>
      </c>
      <c r="F4" s="3" t="inlineStr">
        <is>
          <t>Full Belt Load:</t>
        </is>
      </c>
      <c r="G4" s="6">
        <f>ROUND((B4*1000)/(3600*B5), 2)</f>
        <v/>
      </c>
      <c r="H4" s="5" t="inlineStr">
        <is>
          <t>kg/m</t>
        </is>
      </c>
    </row>
    <row r="5">
      <c r="A5" s="3" t="inlineStr">
        <is>
          <t>Belt Speed (v):</t>
        </is>
      </c>
      <c r="B5" s="4" t="n">
        <v>1.97</v>
      </c>
      <c r="C5" s="5" t="inlineStr">
        <is>
          <t>m/s</t>
        </is>
      </c>
      <c r="F5" s="3" t="inlineStr">
        <is>
          <t>Speed Frequency:</t>
        </is>
      </c>
      <c r="G5" s="6">
        <f>ROUND((B5*B7)/(PI()*B6), 2)</f>
        <v/>
      </c>
      <c r="H5" s="5" t="inlineStr">
        <is>
          <t>Hz</t>
        </is>
      </c>
    </row>
    <row r="6">
      <c r="A6" s="3" t="inlineStr">
        <is>
          <t>Pulley Diameter (D):</t>
        </is>
      </c>
      <c r="B6" s="4" t="n">
        <v>0.16</v>
      </c>
      <c r="C6" s="5" t="inlineStr">
        <is>
          <t>m</t>
        </is>
      </c>
      <c r="F6" s="3" t="inlineStr">
        <is>
          <t>Full Rate:</t>
        </is>
      </c>
      <c r="G6" s="6">
        <f>B4</f>
        <v/>
      </c>
      <c r="H6" s="5" t="inlineStr">
        <is>
          <t>tph</t>
        </is>
      </c>
    </row>
    <row r="7">
      <c r="A7" s="3" t="inlineStr">
        <is>
          <t>Encoder Pulses (P):</t>
        </is>
      </c>
      <c r="B7" s="4" t="n">
        <v>12</v>
      </c>
      <c r="C7" s="5" t="inlineStr">
        <is>
          <t>pulses</t>
        </is>
      </c>
      <c r="F7" s="3" t="inlineStr">
        <is>
          <t>Full Totalizer (6m):</t>
        </is>
      </c>
      <c r="G7" s="6">
        <f>ROUND(B4/10, 2)</f>
        <v/>
      </c>
      <c r="H7" s="5" t="inlineStr">
        <is>
          <t>Tonnes</t>
        </is>
      </c>
    </row>
    <row r="8"/>
    <row r="9" ht="22" customHeight="1">
      <c r="A9" s="2" t="inlineStr">
        <is>
          <t>RESOLUTION SETTINGS</t>
        </is>
      </c>
    </row>
    <row r="10" ht="20" customHeight="1">
      <c r="A10" s="7" t="inlineStr">
        <is>
          <t>Parameter</t>
        </is>
      </c>
      <c r="B10" s="7" t="inlineStr">
        <is>
          <t>Tag</t>
        </is>
      </c>
      <c r="C10" s="7" t="inlineStr">
        <is>
          <t>Formula / Rule</t>
        </is>
      </c>
      <c r="D10" s="7" t="inlineStr">
        <is>
          <t>Calculated Resolution</t>
        </is>
      </c>
      <c r="E10" s="7" t="inlineStr">
        <is>
          <t>Decimal Places</t>
        </is>
      </c>
      <c r="F10" s="7" t="inlineStr">
        <is>
          <t>Unit</t>
        </is>
      </c>
    </row>
    <row r="11">
      <c r="A11" s="8" t="inlineStr">
        <is>
          <t>Belt Load</t>
        </is>
      </c>
      <c r="B11" s="9" t="inlineStr">
        <is>
          <t>res_l</t>
        </is>
      </c>
      <c r="C11" s="8" t="inlineStr">
        <is>
          <t>IF(Val&lt;=99, 0.01, IF(Val&lt;=999, 0.1, 1))</t>
        </is>
      </c>
      <c r="D11" s="10">
        <f>IF(G4&lt;=99, 0.01, IF(G4&lt;=999, 0.1, 1))</f>
        <v/>
      </c>
      <c r="E11" s="11">
        <f>IF(D11=0.01, 2, IF(D11=0.1, 1, 0))</f>
        <v/>
      </c>
      <c r="F11" s="12" t="inlineStr">
        <is>
          <t>kg/m</t>
        </is>
      </c>
    </row>
    <row r="12">
      <c r="A12" s="8" t="inlineStr">
        <is>
          <t>Flow Rate</t>
        </is>
      </c>
      <c r="B12" s="9" t="inlineStr">
        <is>
          <t>res_r</t>
        </is>
      </c>
      <c r="C12" s="8" t="inlineStr">
        <is>
          <t>IF(Val&lt;=99, 0.01, IF(Val&lt;=999, 0.1, 1))</t>
        </is>
      </c>
      <c r="D12" s="10">
        <f>IF(B4&lt;=99, 0.01, IF(B4&lt;=999, 0.1, 1))</f>
        <v/>
      </c>
      <c r="E12" s="11">
        <f>IF(D12=0.01, 2, IF(D12=0.1, 1, 0))</f>
        <v/>
      </c>
      <c r="F12" s="12" t="inlineStr">
        <is>
          <t>tph</t>
        </is>
      </c>
    </row>
    <row r="13">
      <c r="A13" s="8" t="inlineStr">
        <is>
          <t>Belt Speed</t>
        </is>
      </c>
      <c r="B13" s="9" t="inlineStr">
        <is>
          <t>res_s</t>
        </is>
      </c>
      <c r="C13" s="8" t="inlineStr">
        <is>
          <t>0.01 (Fixed)</t>
        </is>
      </c>
      <c r="D13" s="10" t="n">
        <v>0.01</v>
      </c>
      <c r="E13" s="12" t="n">
        <v>2</v>
      </c>
      <c r="F13" s="12" t="inlineStr">
        <is>
          <t>m/s</t>
        </is>
      </c>
    </row>
    <row r="14">
      <c r="A14" s="8" t="inlineStr">
        <is>
          <t>Totalizer</t>
        </is>
      </c>
      <c r="B14" s="9" t="inlineStr">
        <is>
          <t>res_t</t>
        </is>
      </c>
      <c r="C14" s="8" t="inlineStr">
        <is>
          <t>0.1 (Fixed)</t>
        </is>
      </c>
      <c r="D14" s="10" t="n">
        <v>0.1</v>
      </c>
      <c r="E14" s="12" t="n">
        <v>1</v>
      </c>
      <c r="F14" s="12" t="inlineStr">
        <is>
          <t>Tonnes</t>
        </is>
      </c>
    </row>
    <row r="15"/>
    <row r="16" ht="22" customHeight="1">
      <c r="A16" s="2" t="inlineStr">
        <is>
          <t>CALIBRATION MEASUREMENT GRID (TABLE 3)</t>
        </is>
      </c>
    </row>
    <row r="17" ht="28" customHeight="1">
      <c r="A17" s="13" t="inlineStr">
        <is>
          <t>Load %
Test Point</t>
        </is>
      </c>
      <c r="B17" s="13" t="inlineStr">
        <is>
          <t>Load Cell
(mV)</t>
        </is>
      </c>
      <c r="C17" s="13" t="inlineStr">
        <is>
          <t>Belt Load
(kg/m)</t>
        </is>
      </c>
      <c r="D17" s="13" t="inlineStr">
        <is>
          <t>Speed
(m/s)</t>
        </is>
      </c>
      <c r="E17" s="13" t="inlineStr">
        <is>
          <t>Flow Rate
(tph)</t>
        </is>
      </c>
      <c r="F17" s="13" t="inlineStr">
        <is>
          <t>Totalizer (6m)
(Tonnes)</t>
        </is>
      </c>
      <c r="G17" s="13" t="inlineStr">
        <is>
          <t>Output AO1
(mA)</t>
        </is>
      </c>
      <c r="H17" s="13" t="inlineStr">
        <is>
          <t>Output AO2
(mA)</t>
        </is>
      </c>
    </row>
    <row r="18" ht="22" customHeight="1">
      <c r="A18" s="9" t="inlineStr">
        <is>
          <t>0% (Zero)</t>
        </is>
      </c>
      <c r="B18" s="12" t="n">
        <v>3</v>
      </c>
      <c r="C18" s="11">
        <f>ROUND($G$4*0.0, $E$11)</f>
        <v/>
      </c>
      <c r="D18" s="11">
        <f>$B$5</f>
        <v/>
      </c>
      <c r="E18" s="11">
        <f>ROUND($B$4*0.0, $E$12)</f>
        <v/>
      </c>
      <c r="F18" s="11">
        <f>ROUND(E18/10, 1)</f>
        <v/>
      </c>
      <c r="G18" s="12" t="n">
        <v>4</v>
      </c>
      <c r="H18" s="12" t="n">
        <v>4</v>
      </c>
    </row>
    <row r="19" ht="22" customHeight="1">
      <c r="A19" s="9" t="inlineStr">
        <is>
          <t>20%</t>
        </is>
      </c>
      <c r="B19" s="12" t="n">
        <v>3.4</v>
      </c>
      <c r="C19" s="11">
        <f>ROUND($G$4*0.2, $E$11)</f>
        <v/>
      </c>
      <c r="D19" s="11">
        <f>$B$5</f>
        <v/>
      </c>
      <c r="E19" s="11">
        <f>ROUND($B$4*0.2, $E$12)</f>
        <v/>
      </c>
      <c r="F19" s="11">
        <f>ROUND(E19/10, 1)</f>
        <v/>
      </c>
      <c r="G19" s="12" t="n">
        <v>7.2</v>
      </c>
      <c r="H19" s="12" t="n">
        <v>7.2</v>
      </c>
    </row>
    <row r="20" ht="22" customHeight="1">
      <c r="A20" s="9" t="inlineStr">
        <is>
          <t>40%</t>
        </is>
      </c>
      <c r="B20" s="12" t="n">
        <v>3.8</v>
      </c>
      <c r="C20" s="11">
        <f>ROUND($G$4*0.4, $E$11)</f>
        <v/>
      </c>
      <c r="D20" s="11">
        <f>$B$5</f>
        <v/>
      </c>
      <c r="E20" s="11">
        <f>ROUND($B$4*0.4, $E$12)</f>
        <v/>
      </c>
      <c r="F20" s="11">
        <f>ROUND(E20/10, 1)</f>
        <v/>
      </c>
      <c r="G20" s="12" t="n">
        <v>10.4</v>
      </c>
      <c r="H20" s="12" t="n">
        <v>10.4</v>
      </c>
    </row>
    <row r="21" ht="22" customHeight="1">
      <c r="A21" s="9" t="inlineStr">
        <is>
          <t>60%</t>
        </is>
      </c>
      <c r="B21" s="12" t="n">
        <v>4.2</v>
      </c>
      <c r="C21" s="11">
        <f>ROUND($G$4*0.6, $E$11)</f>
        <v/>
      </c>
      <c r="D21" s="11">
        <f>$B$5</f>
        <v/>
      </c>
      <c r="E21" s="11">
        <f>ROUND($B$4*0.6, $E$12)</f>
        <v/>
      </c>
      <c r="F21" s="11">
        <f>ROUND(E21/10, 1)</f>
        <v/>
      </c>
      <c r="G21" s="12" t="n">
        <v>13.6</v>
      </c>
      <c r="H21" s="12" t="n">
        <v>13.6</v>
      </c>
    </row>
    <row r="22" ht="22" customHeight="1">
      <c r="A22" s="9" t="inlineStr">
        <is>
          <t>80%</t>
        </is>
      </c>
      <c r="B22" s="12" t="n">
        <v>4.6</v>
      </c>
      <c r="C22" s="11">
        <f>ROUND($G$4*0.8, $E$11)</f>
        <v/>
      </c>
      <c r="D22" s="11">
        <f>$B$5</f>
        <v/>
      </c>
      <c r="E22" s="11">
        <f>ROUND($B$4*0.8, $E$12)</f>
        <v/>
      </c>
      <c r="F22" s="11">
        <f>ROUND(E22/10, 1)</f>
        <v/>
      </c>
      <c r="G22" s="12" t="n">
        <v>16.8</v>
      </c>
      <c r="H22" s="12" t="n">
        <v>16.8</v>
      </c>
    </row>
    <row r="23" ht="22" customHeight="1">
      <c r="A23" s="9" t="inlineStr">
        <is>
          <t>100% (Span)</t>
        </is>
      </c>
      <c r="B23" s="12" t="n">
        <v>5</v>
      </c>
      <c r="C23" s="11">
        <f>ROUND($G$4*1.0, $E$11)</f>
        <v/>
      </c>
      <c r="D23" s="11">
        <f>$B$5</f>
        <v/>
      </c>
      <c r="E23" s="11">
        <f>ROUND($B$4*1.0, $E$12)</f>
        <v/>
      </c>
      <c r="F23" s="11">
        <f>ROUND(E23/10, 1)</f>
        <v/>
      </c>
      <c r="G23" s="12" t="n">
        <v>20</v>
      </c>
      <c r="H23" s="12" t="n">
        <v>20</v>
      </c>
    </row>
  </sheetData>
  <mergeCells count="5">
    <mergeCell ref="A9:H9"/>
    <mergeCell ref="A16:H16"/>
    <mergeCell ref="A3:D3"/>
    <mergeCell ref="A1:H1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2026-09-14T19:44:50Z</dcterms:created>
  <dcterms:modified xmlns:dcterms="http://purl.org/dc/terms/" xmlns:xsi="http://www.w3.org/2001/XMLSchema-instance" xsi:type="dcterms:W3CDTF">2026-09-14T19:44:50Z</dcterms:modified>
</cp:coreProperties>
</file>